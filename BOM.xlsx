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visible" name="Cart" sheetId="2" r:id="rId5"/>
  </sheets>
  <definedNames/>
  <calcPr/>
  <extLst>
    <ext uri="GoogleSheetsCustomDataVersion2">
      <go:sheetsCustomData xmlns:go="http://customooxmlschemas.google.com/" r:id="rId6" roundtripDataChecksum="j4bmCNGLYJRnS++DP+QAV9vXDs4AlMs4p3+AzGogvCA="/>
    </ext>
  </extLst>
</workbook>
</file>

<file path=xl/sharedStrings.xml><?xml version="1.0" encoding="utf-8"?>
<sst xmlns="http://schemas.openxmlformats.org/spreadsheetml/2006/main" count="167" uniqueCount="91">
  <si>
    <t>Your AliExpress Cart - Sorted by Price</t>
  </si>
  <si>
    <t>5-DOF Robot Arm - Bill of Materials</t>
  </si>
  <si>
    <t>Likely Category is a guess from price only - AliExpress blocks page reads, so exact names could not be retrieved. Fill in the Part column from your cart.</t>
  </si>
  <si>
    <t>#</t>
  </si>
  <si>
    <t>HARDWARE</t>
  </si>
  <si>
    <t>Part (fill in)</t>
  </si>
  <si>
    <t>Likely Category</t>
  </si>
  <si>
    <t>Item ID</t>
  </si>
  <si>
    <t>Qty</t>
  </si>
  <si>
    <t>Part</t>
  </si>
  <si>
    <t>Price</t>
  </si>
  <si>
    <t>Qty Needed</t>
  </si>
  <si>
    <t>Total Price</t>
  </si>
  <si>
    <t>Source</t>
  </si>
  <si>
    <t>Link</t>
  </si>
  <si>
    <t>Small hardware - bearing, screw, or switch</t>
  </si>
  <si>
    <t>688ZZ Ball Bearing 8x16x5</t>
  </si>
  <si>
    <t>3256808863241656</t>
  </si>
  <si>
    <t>AliExpress</t>
  </si>
  <si>
    <t>3256807870649173</t>
  </si>
  <si>
    <t>Small hardware - bearing or coupling</t>
  </si>
  <si>
    <t>3256807634624461</t>
  </si>
  <si>
    <t>3256808592156663</t>
  </si>
  <si>
    <t>Small hardware or small module</t>
  </si>
  <si>
    <t>3256807871204659</t>
  </si>
  <si>
    <t>3256808941537609</t>
  </si>
  <si>
    <t>Bearing, coupling, or buck converter</t>
  </si>
  <si>
    <t>3256807076368453</t>
  </si>
  <si>
    <t>3256810459963979</t>
  </si>
  <si>
    <t>6704RS Ball Bearing 20x27x4</t>
  </si>
  <si>
    <t>Buck converter, switch, or driver</t>
  </si>
  <si>
    <t>3256805856699678</t>
  </si>
  <si>
    <t>3256810316396419</t>
  </si>
  <si>
    <t>Driver, e-stop, or thrust bearing</t>
  </si>
  <si>
    <t>3256807018219687</t>
  </si>
  <si>
    <t>Kit (screws / heat inserts) or bevel gear</t>
  </si>
  <si>
    <t>3256804509463788</t>
  </si>
  <si>
    <t>Kit, bevel gear pair, or thrust bearing</t>
  </si>
  <si>
    <t>3256801828135488</t>
  </si>
  <si>
    <t>MR52ZZ Mini Ball Bearing 2x5x2.5</t>
  </si>
  <si>
    <t>Amazon</t>
  </si>
  <si>
    <t>GEARBOX - same listing as the $47.70 item</t>
  </si>
  <si>
    <t>3256809333529169</t>
  </si>
  <si>
    <t>MOTOR/SERVO - same listing as the $26.50 item</t>
  </si>
  <si>
    <t>Thrust Bearing 90x120x4</t>
  </si>
  <si>
    <t>3256810249188589</t>
  </si>
  <si>
    <t>MOTOR/SERVO - same listing as the $19.39 item</t>
  </si>
  <si>
    <t>Big ticket - PSU, servo pack, or stepper set</t>
  </si>
  <si>
    <t>3256808273084374</t>
  </si>
  <si>
    <t>2251832865241461</t>
  </si>
  <si>
    <t>3256805907523956</t>
  </si>
  <si>
    <t>GEARBOX - same listing as the $17.19 item</t>
  </si>
  <si>
    <t>Wheel Hex Drive Hub</t>
  </si>
  <si>
    <t>CART TOTAL</t>
  </si>
  <si>
    <t>NEMA 17 Shaft Coupling (jaw)</t>
  </si>
  <si>
    <t>Spiral Bevel Gear (matched pair)</t>
  </si>
  <si>
    <t>Ball Bearing 6908 (40x62x12)</t>
  </si>
  <si>
    <t>M3/M4/M5 Screw Assortment Kit</t>
  </si>
  <si>
    <t>Heat-Set Insert Assortment Kit</t>
  </si>
  <si>
    <t>HARDWARE SUBTOTAL</t>
  </si>
  <si>
    <t>MOTORS &amp; DRIVE</t>
  </si>
  <si>
    <t>20:1 Planetary Gearbox (NEMA 17)</t>
  </si>
  <si>
    <t>5:1 Planetary Gearbox (NEMA 17)</t>
  </si>
  <si>
    <t>NEMA 17 Stepper 42N.cm</t>
  </si>
  <si>
    <t>STS3215 30kg Serial Bus Servo</t>
  </si>
  <si>
    <t>MOTORS &amp; DRIVE SUBTOTAL</t>
  </si>
  <si>
    <t>ELECTRONICS</t>
  </si>
  <si>
    <t>Teensy 4.1 Microcontroller</t>
  </si>
  <si>
    <t>TMC2209 Stepper Driver</t>
  </si>
  <si>
    <t>Waveshare Bus Servo Adapter (URT-1)</t>
  </si>
  <si>
    <t>24V PSU (200W / 8.8A)</t>
  </si>
  <si>
    <t>24V to 12V Buck Converter (5A)</t>
  </si>
  <si>
    <t>24V to 5V Buck Converter (3A)</t>
  </si>
  <si>
    <t>Main Power Rocker Switch</t>
  </si>
  <si>
    <t>Emergency Stop Button (NC)</t>
  </si>
  <si>
    <t>Limit Switch w/ lever</t>
  </si>
  <si>
    <t>Aliexpress</t>
  </si>
  <si>
    <t>JST-XH Connector Kit + crimp tool</t>
  </si>
  <si>
    <t>22 AWG Stranded Wire (multi-color)</t>
  </si>
  <si>
    <t>18 AWG Wire (red/black)</t>
  </si>
  <si>
    <t>Heat Shrink Tubing Assortment</t>
  </si>
  <si>
    <t>Header Pin Strips (40-pin)</t>
  </si>
  <si>
    <t>ELECTRONICS SUBTOTAL</t>
  </si>
  <si>
    <t>SHIPPING &amp; FEES</t>
  </si>
  <si>
    <t>Item</t>
  </si>
  <si>
    <t>AliExpress Shipping</t>
  </si>
  <si>
    <t>AliExpress Import / Customs Fees</t>
  </si>
  <si>
    <t>Amazon Shipping</t>
  </si>
  <si>
    <t>Amazon (Prime Member)</t>
  </si>
  <si>
    <t>SHIPPING &amp; FEES SUBTOTAL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</si>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</sst>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\$#,##0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u/>
      <sz val="9.0"/>
      <color rgb="FF0000FF"/>
      <name val="Arial"/>
    </font>
    <font>
      <b/>
      <sz val="10.0"/>
      <color theme="1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i/>
      <sz val="9.0"/>
      <color rgb="FF808080"/>
      <name val="Arial"/>
    </font>
    <font>
      <b/>
      <sz val="12.0"/>
      <color rgb="FFFFFFFF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9CC3E5"/>
        <bgColor rgb="FF9CC3E5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CE9F7"/>
        <bgColor rgb="FFDCE9F7"/>
      </patternFill>
    </fill>
    <fill>
      <patternFill patternType="solid">
        <fgColor rgb="FFFCE4D6"/>
        <bgColor rgb="FFFCE4D6"/>
      </patternFill>
    </fill>
    <fill>
      <patternFill patternType="solid">
        <fgColor rgb="FFA9D08E"/>
        <bgColor rgb="FFA9D08E"/>
      </patternFill>
    </fill>
    <fill>
      <patternFill patternType="solid">
        <fgColor rgb="FFDFEFDC"/>
        <bgColor rgb="FFDFEFDC"/>
      </patternFill>
    </fill>
    <fill>
      <patternFill patternType="solid">
        <fgColor rgb="FFF4B183"/>
        <bgColor rgb="FFF4B183"/>
      </patternFill>
    </fill>
    <fill>
      <patternFill patternType="solid">
        <fgColor rgb="FFFCE9D5"/>
        <bgColor rgb="FFFCE9D5"/>
      </patternFill>
    </fill>
    <fill>
      <patternFill patternType="solid">
        <fgColor rgb="FFB4A7D6"/>
        <bgColor rgb="FFB4A7D6"/>
      </patternFill>
    </fill>
    <fill>
      <patternFill patternType="solid">
        <fgColor rgb="FFE4DFEC"/>
        <bgColor rgb="FFE4DFE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5" fillId="3" fontId="5" numFmtId="0" xfId="0" applyAlignment="1" applyBorder="1" applyFont="1">
      <alignment horizontal="left" shrinkToFit="0" vertical="center" wrapText="0"/>
    </xf>
    <xf borderId="4" fillId="3" fontId="4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4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ill="1" applyFont="1">
      <alignment horizontal="left" shrinkToFit="0" vertical="center" wrapText="0"/>
    </xf>
    <xf borderId="4" fillId="4" fontId="7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0"/>
    </xf>
    <xf borderId="4" fillId="4" fontId="7" numFmtId="0" xfId="0" applyAlignment="1" applyBorder="1" applyFont="1">
      <alignment horizontal="left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4" fontId="6" numFmtId="164" xfId="0" applyAlignment="1" applyBorder="1" applyFont="1" applyNumberFormat="1">
      <alignment horizontal="right" shrinkToFit="0" vertical="center" wrapText="0"/>
    </xf>
    <xf borderId="4" fillId="6" fontId="6" numFmtId="164" xfId="0" applyAlignment="1" applyBorder="1" applyFont="1" applyNumberFormat="1">
      <alignment horizontal="right" shrinkToFit="0" vertical="center" wrapText="0"/>
    </xf>
    <xf borderId="4" fillId="6" fontId="7" numFmtId="0" xfId="0" applyAlignment="1" applyBorder="1" applyFont="1">
      <alignment horizontal="left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7" fontId="6" numFmtId="0" xfId="0" applyAlignment="1" applyBorder="1" applyFill="1" applyFont="1">
      <alignment horizontal="center" shrinkToFit="0" vertical="center" wrapText="0"/>
    </xf>
    <xf borderId="4" fillId="7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ont="1">
      <alignment horizontal="left" shrinkToFit="0" vertical="center" wrapText="0"/>
    </xf>
    <xf borderId="4" fillId="7" fontId="6" numFmtId="164" xfId="0" applyAlignment="1" applyBorder="1" applyFont="1" applyNumberFormat="1">
      <alignment horizontal="right" shrinkToFit="0" vertical="center" wrapText="0"/>
    </xf>
    <xf borderId="4" fillId="3" fontId="6" numFmtId="0" xfId="0" applyAlignment="1" applyBorder="1" applyFont="1">
      <alignment horizontal="left" shrinkToFit="0" vertical="center" wrapText="0"/>
    </xf>
    <xf borderId="4" fillId="3" fontId="9" numFmtId="0" xfId="0" applyAlignment="1" applyBorder="1" applyFont="1">
      <alignment horizontal="left" shrinkToFit="0" vertical="center" wrapText="0"/>
    </xf>
    <xf borderId="4" fillId="3" fontId="4" numFmtId="164" xfId="0" applyAlignment="1" applyBorder="1" applyFont="1" applyNumberFormat="1">
      <alignment horizontal="right" shrinkToFit="0" vertical="center" wrapText="0"/>
    </xf>
    <xf borderId="5" fillId="8" fontId="5" numFmtId="0" xfId="0" applyAlignment="1" applyBorder="1" applyFill="1" applyFont="1">
      <alignment horizontal="left" shrinkToFit="0" vertical="center" wrapText="0"/>
    </xf>
    <xf borderId="4" fillId="8" fontId="4" numFmtId="0" xfId="0" applyAlignment="1" applyBorder="1" applyFont="1">
      <alignment horizontal="left" shrinkToFit="0" vertical="center" wrapText="0"/>
    </xf>
    <xf borderId="4" fillId="8" fontId="4" numFmtId="0" xfId="0" applyAlignment="1" applyBorder="1" applyFont="1">
      <alignment horizontal="center" shrinkToFit="0" vertical="center" wrapText="0"/>
    </xf>
    <xf borderId="4" fillId="9" fontId="6" numFmtId="0" xfId="0" applyAlignment="1" applyBorder="1" applyFill="1" applyFont="1">
      <alignment horizontal="left" shrinkToFit="0" vertical="center" wrapText="0"/>
    </xf>
    <xf borderId="4" fillId="9" fontId="6" numFmtId="0" xfId="0" applyAlignment="1" applyBorder="1" applyFont="1">
      <alignment horizontal="center" shrinkToFit="0" vertical="center" wrapText="0"/>
    </xf>
    <xf borderId="4" fillId="9" fontId="6" numFmtId="164" xfId="0" applyAlignment="1" applyBorder="1" applyFont="1" applyNumberFormat="1">
      <alignment horizontal="right" shrinkToFit="0" vertical="center" wrapText="0"/>
    </xf>
    <xf borderId="4" fillId="9" fontId="7" numFmtId="0" xfId="0" applyAlignment="1" applyBorder="1" applyFont="1">
      <alignment horizontal="left" shrinkToFit="0" vertical="center" wrapText="0"/>
    </xf>
    <xf borderId="4" fillId="9" fontId="10" numFmtId="0" xfId="0" applyAlignment="1" applyBorder="1" applyFont="1">
      <alignment horizontal="left" shrinkToFit="0" vertical="center" wrapText="0"/>
    </xf>
    <xf borderId="4" fillId="8" fontId="6" numFmtId="0" xfId="0" applyAlignment="1" applyBorder="1" applyFont="1">
      <alignment horizontal="left" shrinkToFit="0" vertical="center" wrapText="0"/>
    </xf>
    <xf borderId="4" fillId="8" fontId="4" numFmtId="164" xfId="0" applyAlignment="1" applyBorder="1" applyFont="1" applyNumberFormat="1">
      <alignment horizontal="right" shrinkToFit="0" vertical="center" wrapText="0"/>
    </xf>
    <xf borderId="5" fillId="10" fontId="5" numFmtId="0" xfId="0" applyAlignment="1" applyBorder="1" applyFill="1" applyFont="1">
      <alignment horizontal="left" shrinkToFit="0" vertical="center" wrapText="0"/>
    </xf>
    <xf borderId="4" fillId="10" fontId="4" numFmtId="0" xfId="0" applyAlignment="1" applyBorder="1" applyFont="1">
      <alignment horizontal="left" shrinkToFit="0" vertical="center" wrapText="0"/>
    </xf>
    <xf borderId="4" fillId="10" fontId="4" numFmtId="0" xfId="0" applyAlignment="1" applyBorder="1" applyFont="1">
      <alignment horizontal="center" shrinkToFit="0" vertical="center" wrapText="0"/>
    </xf>
    <xf borderId="4" fillId="11" fontId="6" numFmtId="0" xfId="0" applyAlignment="1" applyBorder="1" applyFill="1" applyFont="1">
      <alignment horizontal="left" shrinkToFit="0" vertical="center" wrapText="0"/>
    </xf>
    <xf borderId="4" fillId="11" fontId="6" numFmtId="0" xfId="0" applyAlignment="1" applyBorder="1" applyFont="1">
      <alignment horizontal="center" shrinkToFit="0" vertical="center" wrapText="0"/>
    </xf>
    <xf borderId="4" fillId="11" fontId="6" numFmtId="164" xfId="0" applyAlignment="1" applyBorder="1" applyFont="1" applyNumberFormat="1">
      <alignment horizontal="right" shrinkToFit="0" vertical="center" wrapText="0"/>
    </xf>
    <xf borderId="4" fillId="11" fontId="7" numFmtId="0" xfId="0" applyAlignment="1" applyBorder="1" applyFont="1">
      <alignment horizontal="left" shrinkToFit="0" vertical="center" wrapText="0"/>
    </xf>
    <xf borderId="4" fillId="11" fontId="11" numFmtId="0" xfId="0" applyAlignment="1" applyBorder="1" applyFont="1">
      <alignment horizontal="left" shrinkToFit="0" vertical="center" wrapText="0"/>
    </xf>
    <xf borderId="4" fillId="11" fontId="6" numFmtId="165" xfId="0" applyAlignment="1" applyBorder="1" applyFont="1" applyNumberFormat="1">
      <alignment horizontal="right" shrinkToFit="0" vertical="center" wrapText="0"/>
    </xf>
    <xf borderId="4" fillId="10" fontId="6" numFmtId="0" xfId="0" applyAlignment="1" applyBorder="1" applyFont="1">
      <alignment horizontal="left" shrinkToFit="0" vertical="center" wrapText="0"/>
    </xf>
    <xf borderId="4" fillId="10" fontId="4" numFmtId="164" xfId="0" applyAlignment="1" applyBorder="1" applyFont="1" applyNumberFormat="1">
      <alignment horizontal="right" shrinkToFit="0" vertical="center" wrapText="0"/>
    </xf>
    <xf borderId="5" fillId="12" fontId="5" numFmtId="0" xfId="0" applyAlignment="1" applyBorder="1" applyFill="1" applyFont="1">
      <alignment horizontal="left" shrinkToFit="0" vertical="center" wrapText="0"/>
    </xf>
    <xf borderId="4" fillId="12" fontId="4" numFmtId="0" xfId="0" applyAlignment="1" applyBorder="1" applyFont="1">
      <alignment horizontal="left" shrinkToFit="0" vertical="center" wrapText="0"/>
    </xf>
    <xf borderId="4" fillId="12" fontId="4" numFmtId="0" xfId="0" applyAlignment="1" applyBorder="1" applyFont="1">
      <alignment horizontal="center" shrinkToFit="0" vertical="center" wrapText="0"/>
    </xf>
    <xf borderId="4" fillId="13" fontId="6" numFmtId="0" xfId="0" applyAlignment="1" applyBorder="1" applyFill="1" applyFont="1">
      <alignment horizontal="left" shrinkToFit="0" vertical="center" wrapText="0"/>
    </xf>
    <xf borderId="4" fillId="13" fontId="6" numFmtId="0" xfId="0" applyAlignment="1" applyBorder="1" applyFont="1">
      <alignment horizontal="center" shrinkToFit="0" vertical="center" wrapText="0"/>
    </xf>
    <xf borderId="4" fillId="13" fontId="6" numFmtId="164" xfId="0" applyAlignment="1" applyBorder="1" applyFont="1" applyNumberFormat="1">
      <alignment horizontal="right" readingOrder="0" shrinkToFit="0" vertical="center" wrapText="0"/>
    </xf>
    <xf borderId="4" fillId="13" fontId="12" numFmtId="0" xfId="0" applyAlignment="1" applyBorder="1" applyFont="1">
      <alignment horizontal="left" shrinkToFit="0" vertical="center" wrapText="0"/>
    </xf>
    <xf borderId="4" fillId="13" fontId="6" numFmtId="0" xfId="0" applyAlignment="1" applyBorder="1" applyFont="1">
      <alignment horizontal="left" readingOrder="0" shrinkToFit="0" vertical="center" wrapText="0"/>
    </xf>
    <xf borderId="4" fillId="12" fontId="6" numFmtId="0" xfId="0" applyAlignment="1" applyBorder="1" applyFont="1">
      <alignment horizontal="left" shrinkToFit="0" vertical="center" wrapText="0"/>
    </xf>
    <xf borderId="4" fillId="12" fontId="4" numFmtId="164" xfId="0" applyAlignment="1" applyBorder="1" applyFont="1" applyNumberFormat="1">
      <alignment horizontal="right" shrinkToFit="0" vertical="center" wrapText="0"/>
    </xf>
    <xf borderId="5" fillId="2" fontId="13" numFmtId="0" xfId="0" applyAlignment="1" applyBorder="1" applyFont="1">
      <alignment horizontal="right" shrinkToFit="0" vertical="center" wrapText="0"/>
    </xf>
    <xf borderId="4" fillId="2" fontId="13" numFmtId="164" xfId="0" applyAlignment="1" applyBorder="1" applyFont="1" applyNumberFormat="1">
      <alignment horizontal="right" shrinkToFit="0" vertical="center" wrapText="0"/>
    </xf>
    <xf borderId="4" fillId="2" fontId="6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liexpress.com/item/3256807634624461.html?spm=a2g0o.cart.0.0.21c438dahEcRgN&amp;mp=1&amp;pdp_npi=6%40dis%21USD%21USD%203.89%21USD%201.39%21%21USD%201.39%21%21%21%402101dedf17866463568028640e10a8%2112000042326455068%21ct%21US%214053666014%21%211%210%21" TargetMode="External"/><Relationship Id="rId22" Type="http://schemas.openxmlformats.org/officeDocument/2006/relationships/hyperlink" Target="https://www.aliexpress.com/item/3256807076368453.html?spm=a2g0o.cart.0.0.21c438dahEcRgN&amp;mp=1&amp;pdp_npi=6%40dis%21USD%21USD%205.11%21USD%202.61%21%21USD%202.61%21%21%21%402101dedf17866463568028640e10a8%2112000039988784368%21ct%21US%214053666014%21%211%210%21" TargetMode="External"/><Relationship Id="rId21" Type="http://schemas.openxmlformats.org/officeDocument/2006/relationships/hyperlink" Target="https://www.aliexpress.com/item/3256808592156663.html?spm=a2g0o.cart.0.0.21c438dahEcRgN&amp;mp=1&amp;pdp_npi=6%40dis%21USD%21USD%204.11%21USD%201.61%21%21USD%201.61%21%21%21%402101dedf17866463568028640e10a8%2112000046630574502%21ct%21US%214053666014%21%211%210%21" TargetMode="External"/><Relationship Id="rId24" Type="http://schemas.openxmlformats.org/officeDocument/2006/relationships/hyperlink" Target="https://www.amazon.com/sspa/click?ie=UTF8&amp;spc=MTo1MTA0MTY3NDU0MDk4ODc4OjE3ODY2NDc2ODE6c3BfYXRmOjMwMTE0OTU4NTUxNjIwMjo6MDo6&amp;url=%2FNoxtren-Connector-Compatible-Ratcheting-Prototyping%2Fdp%2FB0DYJF6N6F%2Fref%3Dsr_1_2_sspa%3Fcrid%3D3GJY5T7HBR9LT%26dib%3DeyJ2" TargetMode="External"/><Relationship Id="rId23" Type="http://schemas.openxmlformats.org/officeDocument/2006/relationships/hyperlink" Target="https://www.aliexpress.com/item/3256808863241656.html?spm=a2g0o.cart.0.0.21c438dahEcRgN&amp;mp=1&amp;pdp_npi=6%40dis%21USD%21USD%202.92%21USD%200.99%21%21USD%200.99%21%21%21%402101dedf17866463568028640e10a8%2112000047711627683%21ct%21US%214053666014%21%211%210%21" TargetMode="External"/><Relationship Id="rId1" Type="http://schemas.openxmlformats.org/officeDocument/2006/relationships/hyperlink" Target="https://www.aliexpress.com/item/3256810316396419.html?spm=a2g0o.cart.0.0.2c6b38daLixLA3&amp;mp=1&amp;pdp_npi=6%40dis%21USD%21USD%207.23%21USD%204.73%21%21USD%204.73%21%21%21%402103128817866452857702509e0d51%2112000057757632399%21ct%21US%214053666014%21%211%210%21" TargetMode="External"/><Relationship Id="rId2" Type="http://schemas.openxmlformats.org/officeDocument/2006/relationships/hyperlink" Target="https://www.aliexpress.com/item/3256805856699678.html?spm=a2g0o.cart.0.0.2c6b38daLixLA3&amp;mp=1&amp;pdp_npi=6%40dis%21USD%21USD%207.13%21USD%204.63%21%21USD%204.63%21%21%21%402103128817866452857702509e0d51%2112000049885758109%21ct%21US%214053666014%21%211%210%21" TargetMode="External"/><Relationship Id="rId3" Type="http://schemas.openxmlformats.org/officeDocument/2006/relationships/hyperlink" Target="https://www.amazon.com/sspa/click?ie=UTF8&amp;spc=MToyNTQ1MDkyNzE2MDM3MDEyOjE3ODY2NDY5OTQ6c3BfYXRmOjMwMDkyMzUxMDM3NzAwMjo6MDo6&amp;url=%2FMR52ZZ-Bearings-Shielded-Miniature-Equipment%2Fdp%2FB0F18LTXZW%2Fref%3Dsr_1_1_sspa%3Fcrid%3D226IBA5TNKIS6%26dib%3DeyJ2IjoiMSJ" TargetMode="External"/><Relationship Id="rId4" Type="http://schemas.openxmlformats.org/officeDocument/2006/relationships/hyperlink" Target="https://www.aliexpress.com/item/3256804509463788.html?spm=a2g0o.cart.0.0.2c6b38daLixLA3&amp;mp=1&amp;pdp_npi=6%40dis%21USD%21USD%2010.87%21USD%208.37%21%21USD%208.37%21%21%21%40210311c217866453945176809e0cf7%2112000030131963126%21ct%21US%214053666014%21%211%210%2" TargetMode="External"/><Relationship Id="rId9" Type="http://schemas.openxmlformats.org/officeDocument/2006/relationships/hyperlink" Target="https://www.amazon.com/sspa/click?ie=UTF8&amp;spc=MTo3NTkzMTAxNTA4OTY5NDA4OjE3ODY2NDczNTQ6c3BfYXRmOjMwMTE0ODgxMjI2MzgwMjo6MDo6&amp;url=%2FFgruh-Assortment-M2-M3-M4%2Fdp%2FB0FJFVG31G%2Fref%3Dsr_1_1_sspa%3Fcrid%3D8QPXTUW5EQ53%26dib%3DeyJ2IjoiMSJ9.jSMGbBvU7aohLXhZhb" TargetMode="External"/><Relationship Id="rId26" Type="http://schemas.openxmlformats.org/officeDocument/2006/relationships/hyperlink" Target="https://www.amazon.com/Automotive-Flexible-Security-Stranded-Electrical/dp/B0CKR35SX5/ref=sr_1_1?crid=UPW73QF4MAH5&amp;dib=eyJ2IjoiMSJ9.NMczaGjCO6D7yyMlqPkfqurkYMGHRzBuCjnjXRfYR3c04qirt2A9fA7rW42shzd0spwVviYAnv2_Y3DOFYKw_dSiayGj2XfZU45JLTRBYkNCa4-NuB3koRR1SZc" TargetMode="External"/><Relationship Id="rId25" Type="http://schemas.openxmlformats.org/officeDocument/2006/relationships/hyperlink" Target="https://www.amazon.com/sspa/click?ie=UTF8&amp;spc=MTozODcwOTE3NTk2NjIxMTUzOjE3ODY2NDc3MzY6c3BfYXRmOjMwMTI4MjYwMjMyMjkwMjo6MDo6&amp;url=%2FFermerry-Stranded-Silicone-Flexible-Electrical%2Fdp%2FB089D29FHC%2Fref%3Dsr_1_2_sspa%3Fcrid%3D5TND5BPWC9BJ%26dib%3DeyJ2IjoiMS" TargetMode="External"/><Relationship Id="rId28" Type="http://schemas.openxmlformats.org/officeDocument/2006/relationships/hyperlink" Target="https://www.amazon.com/sspa/click?ie=UTF8&amp;spc=MTo1NzQ2MzA3NzM1MDEyNzc5OjE3ODY2NDc4NzA6c3BfYXRmOjMwMTA5NjcxMDYwNzkwMjo6MDo6&amp;url=%2F2-54mm-Breakaway-Female-Connector-Arduino%2Fdp%2FB01MQ48T2V%2Fref%3Dsr_1_1_sspa%3Fcrid%3D2K3NQ4D9728SC%26dib%3DeyJ2IjoiMSJ9.K" TargetMode="External"/><Relationship Id="rId27" Type="http://schemas.openxmlformats.org/officeDocument/2006/relationships/hyperlink" Target="https://www.amazon.com/sspa/click?ie=UTF8&amp;spc=MTo0NTg4MTYyMzgwMDk1MzEzOjE3ODY2NDc4MzM6c3BfYXRmOjMwMDM5Njk1NjI5MDgwMjo6MDo6&amp;url=%2FEventronic-Heat-Shrink-Tubing-Kit-3%2Fdp%2FB0BVVMCY86%2Fref%3Dsr_1_1_sspa%3Fcrid%3D2ZXN8HGH1AJ9V%26dib%3DeyJ2IjoiMSJ9.afAtOFc" TargetMode="External"/><Relationship Id="rId5" Type="http://schemas.openxmlformats.org/officeDocument/2006/relationships/hyperlink" Target="https://www.aliexpress.com/item/3256807870649173.html?spm=a2g0o.cart.0.0.2c6b38daLixLA3&amp;mp=1&amp;pdp_npi=6%40dis%21USD%21USD%203.16%21USD%200.99%21%21USD%200.99%21%21%21%40210311c217866453945176809e0cf7%2112000043479102358%21ct%21US%214053666014%21%211%210%21" TargetMode="External"/><Relationship Id="rId6" Type="http://schemas.openxmlformats.org/officeDocument/2006/relationships/hyperlink" Target="https://www.aliexpress.com/item/3256807871204659.html?spm=a2g0o.cart.0.0.2c6b38daLixLA3&amp;mp=1&amp;pdp_npi=6%40dis%21USD%21USD%204.27%21USD%204.27%21%21USD%204.27%21%21%21%40210311c217866453945176809e0cf7%2112000043480811568%21ct%21US%214053666014%21%211%210%21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aliexpress.com/item/3256801828135488.html?spm=a2g0o.cart.0.0.2c6b38daLixLA3&amp;mp=1&amp;pdp_npi=6%40dis%21USD%21USD%2011.85%21USD%2011.85%21%21USD%2011.85%21%21%21%40210311c217866453945176809e0cf7%2112000018418986379%21ct%21US%214053666014%21%211%210" TargetMode="External"/><Relationship Id="rId8" Type="http://schemas.openxmlformats.org/officeDocument/2006/relationships/hyperlink" Target="https://www.amazon.com/HiPicco-6908-2RS-Groove-Bearings-Pre-Lubricated/dp/B0CRLF6P6P/ref=sr_1_5?crid=3F9O5ROPTREOD&amp;dib=eyJ2IjoiMSJ9.rZiCJQ-WIHywdorpfu-fItk0oscir7jkYfJuXgG-mEPnzKyDv4kla1EBY5rKjizBl5PRizpFuzCK7UN2KnJWA2lMH22j0qtEPhbqg-vWB7cgCDeze2IW7-tXh5n" TargetMode="External"/><Relationship Id="rId11" Type="http://schemas.openxmlformats.org/officeDocument/2006/relationships/hyperlink" Target="https://www.aliexpress.com/item/3256810249188589.html?spm=a2g0o.cart.0.0.2c6b38daLixLA3&amp;mp=1&amp;pdp_npi=6%40dis%21USD%21USD%2027.04%21USD%2026.50%21%21USD%2026.50%21%21%21%40210311c217866453978167002e0cf7%2112000052398832558%21ct%21US%214053666014%21%211%210" TargetMode="External"/><Relationship Id="rId10" Type="http://schemas.openxmlformats.org/officeDocument/2006/relationships/hyperlink" Target="https://www.amazon.com/sspa/click?ie=UTF8&amp;spc=MToyNTIzNDEyNTE0NzE0MTcyOjE3ODY2NDczODU6c3BfYXRmOjMwMDE4NjcyMzEzODMwMjo6MDo6&amp;url=%2FKtehloy-Threaded-Assortment-Printing-Components%2Fdp%2FB0CLKDPN65%2Fref%3Dsr_1_2_sspa%3Fcrid%3D3PZUPB8BQLAYJ%26dib%3DeyJ2Ijoi" TargetMode="External"/><Relationship Id="rId13" Type="http://schemas.openxmlformats.org/officeDocument/2006/relationships/hyperlink" Target="https://www.aliexpress.com/item/3256808273084374.html?spm=a2g0o.cart.0.0.2c6b38daLixLA3&amp;mp=1&amp;pdp_npi=6%40dis%21USD%21USD%2029.77%21USD%2027.27%21%21USD%2027.27%21%21%21%40210311c217866453945176809e0cf7%2112000045225398670%21ct%21US%214053666014%21%211%210" TargetMode="External"/><Relationship Id="rId12" Type="http://schemas.openxmlformats.org/officeDocument/2006/relationships/hyperlink" Target="https://www.aliexpress.com/item/3256810249188589.html?spm=a2g0o.cart.0.0.2c6b38daLixLA3&amp;mp=1&amp;pdp_npi=6%40dis%21USD%21USD%2019.79%21USD%2019.39%21%21USD%2019.39%21%21%21%40210311c217866453945176809e0cf7%2112000052398832556%21ct%21US%214053666014%21%212%210" TargetMode="External"/><Relationship Id="rId15" Type="http://schemas.openxmlformats.org/officeDocument/2006/relationships/hyperlink" Target="https://www.amazon.com/PJRC-Cortex-M7-Processor-iMXRT1062-Without/dp/B088JY7P2H/ref=sr_1_2?crid=3DGCXGBWGFRXL&amp;dib=eyJ2IjoiMSJ9.SbX6rnuR22BHW7UQV6IYcckSiyAyB1ZWr3cUVGCpjmoQXbeS8ReVivchSYxH51JJ2ab76ocv1crqkiTwLlJ16dsOrAK2pg0d5_1AJUMdM1xcJzVh9iFspVBuPaXmPtsi" TargetMode="External"/><Relationship Id="rId14" Type="http://schemas.openxmlformats.org/officeDocument/2006/relationships/hyperlink" Target="https://www.aliexpress.com/item/3256809333529169.html?spm=a2g0o.cart.0.0.21c438dahEcRgN&amp;mp=1&amp;pdp_npi=6%40dis%21USD%21USD%2050.20%21USD%2047.70%21%21USD%2047.70%21%21%21%402101dedf17866463595618719e10a8%2112000049352028986%21ct%21US%214053666014%21%211%210" TargetMode="External"/><Relationship Id="rId17" Type="http://schemas.openxmlformats.org/officeDocument/2006/relationships/hyperlink" Target="https://www.aliexpress.com/item/3256809333529169.html?spm=a2g0o.cart.0.0.21c438dahEcRgN&amp;mp=1&amp;pdp_npi=6%40dis%21USD%21USD%2019.69%21USD%2017.19%21%21USD%2017.19%21%21%21%402101dedf17866463595618719e10a8%2112000049352028990%21ct%21US%214053666014%21%211%210" TargetMode="External"/><Relationship Id="rId16" Type="http://schemas.openxmlformats.org/officeDocument/2006/relationships/hyperlink" Target="https://www.aliexpress.com/item/3256810459963979.html?spm=a2g0o.cart.0.0.69f238daAIcIc6&amp;mp=1&amp;pdp_npi=6%40dis%21USD%21USD%205.66%21USD%204.70%21%21USD%204.70%21%21%21%402101dedf17866464959245301e10a8%2112000053071638679%21ct%21US%214053666014%21%214%210%21" TargetMode="External"/><Relationship Id="rId19" Type="http://schemas.openxmlformats.org/officeDocument/2006/relationships/hyperlink" Target="https://www.aliexpress.com/item/3256807018219687.html?spm=a2g0o.cart.0.0.69f238daAIcIc6&amp;mp=1&amp;pdp_npi=6%40dis%21USD%21USD%208.21%21USD%205.71%21%21USD%205.71%21%21%21%402101dedf17866464921415182e10a8%2112000039798512492%21ct%21US%214053666014%21%211%210%21" TargetMode="External"/><Relationship Id="rId18" Type="http://schemas.openxmlformats.org/officeDocument/2006/relationships/hyperlink" Target="https://www.aliexpress.com/item/2251832865241461.html?spm=a2g0o.cart.0.0.69f238daAIcIc6&amp;mp=1&amp;pdp_npi=6%40dis%21USD%21USD%2033.93%21USD%2031.43%21%21USD%2031.43%21%21%21%402101dedf17866465460327044e10a8%2112000016440247464%21ct%21US%214053666014%21%211%21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4.0"/>
    <col customWidth="1" min="2" max="2" width="12.0"/>
    <col customWidth="1" min="3" max="3" width="13.0"/>
    <col customWidth="1" min="4" max="4" width="17.0"/>
    <col customWidth="1" min="5" max="5" width="55.0"/>
    <col customWidth="1" min="6" max="6" width="8.71"/>
  </cols>
  <sheetData>
    <row r="1" ht="25.5" customHeight="1">
      <c r="A1" s="1" t="s">
        <v>1</v>
      </c>
      <c r="B1" s="2"/>
      <c r="C1" s="2"/>
      <c r="D1" s="2"/>
      <c r="E1" s="3"/>
    </row>
    <row r="2" ht="18.0" customHeight="1">
      <c r="A2" s="4"/>
    </row>
    <row r="4" ht="19.5" customHeight="1">
      <c r="A4" s="6" t="s">
        <v>4</v>
      </c>
      <c r="B4" s="8"/>
      <c r="C4" s="8"/>
      <c r="D4" s="8"/>
      <c r="E4" s="9"/>
    </row>
    <row r="5">
      <c r="A5" s="7" t="s">
        <v>9</v>
      </c>
      <c r="B5" s="5" t="s">
        <v>11</v>
      </c>
      <c r="C5" s="5" t="s">
        <v>12</v>
      </c>
      <c r="D5" s="7" t="s">
        <v>13</v>
      </c>
      <c r="E5" s="7" t="s">
        <v>14</v>
      </c>
    </row>
    <row r="6" ht="19.5" customHeight="1">
      <c r="A6" s="13" t="s">
        <v>16</v>
      </c>
      <c r="B6" s="15">
        <v>2.0</v>
      </c>
      <c r="C6" s="17">
        <v>4.73</v>
      </c>
      <c r="D6" s="18" t="s">
        <v>18</v>
      </c>
      <c r="E6" s="19" t="s">
        <v>14</v>
      </c>
    </row>
    <row r="7" ht="19.5" customHeight="1">
      <c r="A7" s="13" t="s">
        <v>29</v>
      </c>
      <c r="B7" s="15">
        <v>2.0</v>
      </c>
      <c r="C7" s="17">
        <v>1.88</v>
      </c>
      <c r="D7" s="18" t="s">
        <v>18</v>
      </c>
      <c r="E7" s="19" t="s">
        <v>14</v>
      </c>
    </row>
    <row r="8" ht="19.5" customHeight="1">
      <c r="A8" s="13" t="s">
        <v>39</v>
      </c>
      <c r="B8" s="15">
        <v>1.0</v>
      </c>
      <c r="C8" s="17">
        <v>8.59</v>
      </c>
      <c r="D8" s="18" t="s">
        <v>40</v>
      </c>
      <c r="E8" s="19" t="s">
        <v>14</v>
      </c>
    </row>
    <row r="9" ht="19.5" customHeight="1">
      <c r="A9" s="13" t="s">
        <v>44</v>
      </c>
      <c r="B9" s="15">
        <v>1.0</v>
      </c>
      <c r="C9" s="17">
        <v>8.37</v>
      </c>
      <c r="D9" s="18" t="s">
        <v>18</v>
      </c>
      <c r="E9" s="19" t="s">
        <v>14</v>
      </c>
    </row>
    <row r="10" ht="19.5" customHeight="1">
      <c r="A10" s="13" t="s">
        <v>52</v>
      </c>
      <c r="B10" s="15">
        <v>1.0</v>
      </c>
      <c r="C10" s="17">
        <v>0.99</v>
      </c>
      <c r="D10" s="18" t="s">
        <v>18</v>
      </c>
      <c r="E10" s="19" t="s">
        <v>14</v>
      </c>
    </row>
    <row r="11" ht="19.5" customHeight="1">
      <c r="A11" s="13" t="s">
        <v>54</v>
      </c>
      <c r="B11" s="15">
        <v>1.0</v>
      </c>
      <c r="C11" s="17">
        <v>4.27</v>
      </c>
      <c r="D11" s="18" t="s">
        <v>18</v>
      </c>
      <c r="E11" s="19" t="s">
        <v>14</v>
      </c>
    </row>
    <row r="12" ht="19.5" customHeight="1">
      <c r="A12" s="13" t="s">
        <v>55</v>
      </c>
      <c r="B12" s="15">
        <v>2.0</v>
      </c>
      <c r="C12" s="17">
        <v>11.85</v>
      </c>
      <c r="D12" s="18" t="s">
        <v>18</v>
      </c>
      <c r="E12" s="19" t="s">
        <v>14</v>
      </c>
    </row>
    <row r="13" ht="19.5" customHeight="1">
      <c r="A13" s="13" t="s">
        <v>56</v>
      </c>
      <c r="B13" s="15">
        <v>2.0</v>
      </c>
      <c r="C13" s="17">
        <v>9.0</v>
      </c>
      <c r="D13" s="18" t="s">
        <v>40</v>
      </c>
      <c r="E13" s="19" t="s">
        <v>14</v>
      </c>
    </row>
    <row r="14" ht="19.5" customHeight="1">
      <c r="A14" s="13" t="s">
        <v>57</v>
      </c>
      <c r="B14" s="15">
        <v>1.0</v>
      </c>
      <c r="C14" s="17">
        <v>23.0</v>
      </c>
      <c r="D14" s="18" t="s">
        <v>40</v>
      </c>
      <c r="E14" s="19" t="s">
        <v>14</v>
      </c>
    </row>
    <row r="15" ht="19.5" customHeight="1">
      <c r="A15" s="13" t="s">
        <v>58</v>
      </c>
      <c r="B15" s="15">
        <v>1.0</v>
      </c>
      <c r="C15" s="17">
        <v>16.0</v>
      </c>
      <c r="D15" s="18" t="s">
        <v>40</v>
      </c>
      <c r="E15" s="19" t="s">
        <v>14</v>
      </c>
    </row>
    <row r="16">
      <c r="A16" s="7" t="s">
        <v>59</v>
      </c>
      <c r="B16" s="24"/>
      <c r="C16" s="26">
        <f>SUM(C6:C15)</f>
        <v>88.68</v>
      </c>
      <c r="D16" s="24"/>
      <c r="E16" s="24"/>
    </row>
    <row r="18" ht="19.5" customHeight="1">
      <c r="A18" s="27" t="s">
        <v>60</v>
      </c>
      <c r="B18" s="8"/>
      <c r="C18" s="8"/>
      <c r="D18" s="8"/>
      <c r="E18" s="9"/>
    </row>
    <row r="19">
      <c r="A19" s="28" t="s">
        <v>9</v>
      </c>
      <c r="B19" s="29" t="s">
        <v>11</v>
      </c>
      <c r="C19" s="29" t="s">
        <v>12</v>
      </c>
      <c r="D19" s="28" t="s">
        <v>13</v>
      </c>
      <c r="E19" s="28" t="s">
        <v>14</v>
      </c>
    </row>
    <row r="20" ht="19.5" customHeight="1">
      <c r="A20" s="30" t="s">
        <v>61</v>
      </c>
      <c r="B20" s="31">
        <v>1.0</v>
      </c>
      <c r="C20" s="32">
        <v>26.5</v>
      </c>
      <c r="D20" s="33" t="s">
        <v>18</v>
      </c>
      <c r="E20" s="34" t="s">
        <v>14</v>
      </c>
    </row>
    <row r="21" ht="19.5" customHeight="1">
      <c r="A21" s="30" t="s">
        <v>62</v>
      </c>
      <c r="B21" s="31">
        <v>2.0</v>
      </c>
      <c r="C21" s="32">
        <v>38.78</v>
      </c>
      <c r="D21" s="33" t="s">
        <v>18</v>
      </c>
      <c r="E21" s="34" t="s">
        <v>14</v>
      </c>
    </row>
    <row r="22" ht="19.5" customHeight="1">
      <c r="A22" s="30" t="s">
        <v>63</v>
      </c>
      <c r="B22" s="31">
        <v>3.0</v>
      </c>
      <c r="C22" s="32">
        <v>27.27</v>
      </c>
      <c r="D22" s="33" t="s">
        <v>18</v>
      </c>
      <c r="E22" s="34" t="s">
        <v>14</v>
      </c>
    </row>
    <row r="23" ht="19.5" customHeight="1">
      <c r="A23" s="30" t="s">
        <v>64</v>
      </c>
      <c r="B23" s="31">
        <v>3.0</v>
      </c>
      <c r="C23" s="32">
        <v>75.7</v>
      </c>
      <c r="D23" s="33" t="s">
        <v>18</v>
      </c>
      <c r="E23" s="34" t="s">
        <v>14</v>
      </c>
    </row>
    <row r="24" ht="15.75" customHeight="1">
      <c r="A24" s="28" t="s">
        <v>65</v>
      </c>
      <c r="B24" s="35"/>
      <c r="C24" s="36">
        <f>SUM(C20:C23)</f>
        <v>168.25</v>
      </c>
      <c r="D24" s="35"/>
      <c r="E24" s="35"/>
    </row>
    <row r="25" ht="15.75" customHeight="1"/>
    <row r="26" ht="19.5" customHeight="1">
      <c r="A26" s="37" t="s">
        <v>66</v>
      </c>
      <c r="B26" s="8"/>
      <c r="C26" s="8"/>
      <c r="D26" s="8"/>
      <c r="E26" s="9"/>
    </row>
    <row r="27" ht="15.75" customHeight="1">
      <c r="A27" s="38" t="s">
        <v>9</v>
      </c>
      <c r="B27" s="39" t="s">
        <v>11</v>
      </c>
      <c r="C27" s="39" t="s">
        <v>12</v>
      </c>
      <c r="D27" s="38" t="s">
        <v>13</v>
      </c>
      <c r="E27" s="38" t="s">
        <v>14</v>
      </c>
    </row>
    <row r="28" ht="19.5" customHeight="1">
      <c r="A28" s="40" t="s">
        <v>67</v>
      </c>
      <c r="B28" s="41">
        <v>1.0</v>
      </c>
      <c r="C28" s="42">
        <v>34.9</v>
      </c>
      <c r="D28" s="43" t="s">
        <v>40</v>
      </c>
      <c r="E28" s="44" t="s">
        <v>14</v>
      </c>
    </row>
    <row r="29" ht="19.5" customHeight="1">
      <c r="A29" s="40" t="s">
        <v>68</v>
      </c>
      <c r="B29" s="41">
        <v>3.0</v>
      </c>
      <c r="C29" s="42">
        <v>14.1</v>
      </c>
      <c r="D29" s="43" t="s">
        <v>18</v>
      </c>
      <c r="E29" s="44" t="s">
        <v>14</v>
      </c>
    </row>
    <row r="30" ht="19.5" customHeight="1">
      <c r="A30" s="40" t="s">
        <v>69</v>
      </c>
      <c r="B30" s="41">
        <v>1.0</v>
      </c>
      <c r="C30" s="42">
        <v>17.19</v>
      </c>
      <c r="D30" s="43" t="s">
        <v>18</v>
      </c>
      <c r="E30" s="44" t="s">
        <v>14</v>
      </c>
    </row>
    <row r="31" ht="19.5" customHeight="1">
      <c r="A31" s="40" t="s">
        <v>70</v>
      </c>
      <c r="B31" s="41">
        <v>1.0</v>
      </c>
      <c r="C31" s="42">
        <v>31.43</v>
      </c>
      <c r="D31" s="43" t="s">
        <v>18</v>
      </c>
      <c r="E31" s="44" t="s">
        <v>14</v>
      </c>
    </row>
    <row r="32" ht="19.5" customHeight="1">
      <c r="A32" s="40" t="s">
        <v>71</v>
      </c>
      <c r="B32" s="41">
        <v>1.0</v>
      </c>
      <c r="C32" s="42">
        <v>5.71</v>
      </c>
      <c r="D32" s="43" t="s">
        <v>18</v>
      </c>
      <c r="E32" s="44" t="s">
        <v>14</v>
      </c>
    </row>
    <row r="33" ht="19.5" customHeight="1">
      <c r="A33" s="40" t="s">
        <v>72</v>
      </c>
      <c r="B33" s="41">
        <v>1.0</v>
      </c>
      <c r="C33" s="42">
        <v>1.39</v>
      </c>
      <c r="D33" s="43" t="s">
        <v>18</v>
      </c>
      <c r="E33" s="44" t="s">
        <v>14</v>
      </c>
    </row>
    <row r="34" ht="19.5" customHeight="1">
      <c r="A34" s="40" t="s">
        <v>73</v>
      </c>
      <c r="B34" s="41">
        <v>1.0</v>
      </c>
      <c r="C34" s="42">
        <v>1.61</v>
      </c>
      <c r="D34" s="43" t="s">
        <v>18</v>
      </c>
      <c r="E34" s="44" t="s">
        <v>14</v>
      </c>
    </row>
    <row r="35" ht="19.5" customHeight="1">
      <c r="A35" s="40" t="s">
        <v>74</v>
      </c>
      <c r="B35" s="41">
        <v>1.0</v>
      </c>
      <c r="C35" s="42">
        <v>2.61</v>
      </c>
      <c r="D35" s="43" t="s">
        <v>18</v>
      </c>
      <c r="E35" s="44" t="s">
        <v>14</v>
      </c>
    </row>
    <row r="36" ht="19.5" customHeight="1">
      <c r="A36" s="40" t="s">
        <v>75</v>
      </c>
      <c r="B36" s="41">
        <v>3.0</v>
      </c>
      <c r="C36" s="42">
        <v>0.99</v>
      </c>
      <c r="D36" s="43" t="s">
        <v>76</v>
      </c>
      <c r="E36" s="44" t="s">
        <v>14</v>
      </c>
    </row>
    <row r="37" ht="19.5" customHeight="1">
      <c r="A37" s="40" t="s">
        <v>77</v>
      </c>
      <c r="B37" s="41">
        <v>1.0</v>
      </c>
      <c r="C37" s="45">
        <v>30.0</v>
      </c>
      <c r="D37" s="43" t="s">
        <v>40</v>
      </c>
      <c r="E37" s="44" t="s">
        <v>14</v>
      </c>
    </row>
    <row r="38" ht="19.5" customHeight="1">
      <c r="A38" s="40" t="s">
        <v>78</v>
      </c>
      <c r="B38" s="41">
        <v>1.0</v>
      </c>
      <c r="C38" s="45">
        <v>21.0</v>
      </c>
      <c r="D38" s="43" t="s">
        <v>40</v>
      </c>
      <c r="E38" s="44" t="s">
        <v>14</v>
      </c>
    </row>
    <row r="39" ht="19.5" customHeight="1">
      <c r="A39" s="40" t="s">
        <v>79</v>
      </c>
      <c r="B39" s="41">
        <v>1.0</v>
      </c>
      <c r="C39" s="45">
        <v>8.0</v>
      </c>
      <c r="D39" s="43" t="s">
        <v>40</v>
      </c>
      <c r="E39" s="44" t="s">
        <v>14</v>
      </c>
    </row>
    <row r="40" ht="19.5" customHeight="1">
      <c r="A40" s="40" t="s">
        <v>80</v>
      </c>
      <c r="B40" s="41">
        <v>1.0</v>
      </c>
      <c r="C40" s="45">
        <v>14.0</v>
      </c>
      <c r="D40" s="43" t="s">
        <v>40</v>
      </c>
      <c r="E40" s="44" t="s">
        <v>14</v>
      </c>
    </row>
    <row r="41" ht="19.5" customHeight="1">
      <c r="A41" s="40" t="s">
        <v>81</v>
      </c>
      <c r="B41" s="41">
        <v>1.0</v>
      </c>
      <c r="C41" s="45">
        <v>8.0</v>
      </c>
      <c r="D41" s="43" t="s">
        <v>40</v>
      </c>
      <c r="E41" s="44" t="s">
        <v>14</v>
      </c>
    </row>
    <row r="42" ht="15.75" customHeight="1">
      <c r="A42" s="38" t="s">
        <v>82</v>
      </c>
      <c r="B42" s="46"/>
      <c r="C42" s="47">
        <f>SUM(C28:C41)</f>
        <v>190.93</v>
      </c>
      <c r="D42" s="46"/>
      <c r="E42" s="46"/>
    </row>
    <row r="43" ht="15.75" customHeight="1"/>
    <row r="44" ht="19.5" customHeight="1">
      <c r="A44" s="48" t="s">
        <v>83</v>
      </c>
      <c r="B44" s="8"/>
      <c r="C44" s="8"/>
      <c r="D44" s="8"/>
      <c r="E44" s="9"/>
    </row>
    <row r="45" ht="15.75" customHeight="1">
      <c r="A45" s="49" t="s">
        <v>84</v>
      </c>
      <c r="B45" s="50"/>
      <c r="C45" s="50" t="s">
        <v>12</v>
      </c>
      <c r="D45" s="49" t="s">
        <v>13</v>
      </c>
      <c r="E45" s="49"/>
    </row>
    <row r="46" ht="19.5" customHeight="1">
      <c r="A46" s="51" t="s">
        <v>85</v>
      </c>
      <c r="B46" s="52"/>
      <c r="C46" s="53">
        <v>30.0</v>
      </c>
      <c r="D46" s="51" t="s">
        <v>18</v>
      </c>
      <c r="E46" s="54"/>
    </row>
    <row r="47" ht="19.5" customHeight="1">
      <c r="A47" s="51" t="s">
        <v>86</v>
      </c>
      <c r="B47" s="52"/>
      <c r="C47" s="53">
        <v>30.0</v>
      </c>
      <c r="D47" s="51" t="s">
        <v>18</v>
      </c>
      <c r="E47" s="54"/>
    </row>
    <row r="48" ht="19.5" customHeight="1">
      <c r="A48" s="51" t="s">
        <v>87</v>
      </c>
      <c r="B48" s="52"/>
      <c r="C48" s="53">
        <v>0.0</v>
      </c>
      <c r="D48" s="55" t="s">
        <v>88</v>
      </c>
      <c r="E48" s="54"/>
    </row>
    <row r="49" ht="15.75" customHeight="1">
      <c r="A49" s="49" t="s">
        <v>89</v>
      </c>
      <c r="B49" s="56"/>
      <c r="C49" s="57">
        <f>SUM(C46:C48)</f>
        <v>60</v>
      </c>
      <c r="D49" s="56"/>
      <c r="E49" s="56"/>
    </row>
    <row r="50" ht="15.75" customHeight="1"/>
    <row r="51" ht="15.75" customHeight="1">
      <c r="A51" s="58" t="s">
        <v>90</v>
      </c>
      <c r="B51" s="9"/>
      <c r="C51" s="59">
        <f>C16+C24+C42+C49</f>
        <v>507.86</v>
      </c>
      <c r="D51" s="60"/>
      <c r="E51" s="6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E1"/>
    <mergeCell ref="A2:E2"/>
    <mergeCell ref="A4:E4"/>
    <mergeCell ref="A18:E18"/>
    <mergeCell ref="A26:E26"/>
    <mergeCell ref="A44:E44"/>
    <mergeCell ref="A51:B51"/>
  </mergeCells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3"/>
    <hyperlink r:id="rId9" ref="E14"/>
    <hyperlink r:id="rId10" ref="E15"/>
    <hyperlink r:id="rId11" ref="E20"/>
    <hyperlink r:id="rId12" ref="E21"/>
    <hyperlink r:id="rId13" ref="E22"/>
    <hyperlink r:id="rId14" ref="E23"/>
    <hyperlink r:id="rId15" ref="E28"/>
    <hyperlink r:id="rId16" ref="E29"/>
    <hyperlink r:id="rId17" ref="E30"/>
    <hyperlink r:id="rId18" ref="E31"/>
    <hyperlink r:id="rId19" ref="E32"/>
    <hyperlink r:id="rId20" ref="E33"/>
    <hyperlink r:id="rId21" ref="E34"/>
    <hyperlink r:id="rId22" ref="E35"/>
    <hyperlink r:id="rId23" ref="E36"/>
    <hyperlink r:id="rId24" ref="E37"/>
    <hyperlink r:id="rId25" ref="E38"/>
    <hyperlink r:id="rId26" ref="E39"/>
    <hyperlink r:id="rId27" ref="E40"/>
    <hyperlink r:id="rId28" ref="E41"/>
  </hyperlinks>
  <printOptions/>
  <pageMargins bottom="1.0" footer="0.0" header="0.0" left="0.75" right="0.75" top="1.0"/>
  <pageSetup paperSize="9" orientation="portrait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42.0"/>
    <col customWidth="1" min="4" max="4" width="20.0"/>
    <col customWidth="1" min="5" max="5" width="7.0"/>
    <col customWidth="1" min="6" max="6" width="12.0"/>
  </cols>
  <sheetData>
    <row r="1" ht="25.5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2</v>
      </c>
    </row>
    <row r="4">
      <c r="A4" s="5" t="s">
        <v>3</v>
      </c>
      <c r="B4" s="7" t="s">
        <v>5</v>
      </c>
      <c r="C4" s="7" t="s">
        <v>6</v>
      </c>
      <c r="D4" s="7" t="s">
        <v>7</v>
      </c>
      <c r="E4" s="5" t="s">
        <v>8</v>
      </c>
      <c r="F4" s="5" t="s">
        <v>10</v>
      </c>
    </row>
    <row r="5" ht="21.75" customHeight="1">
      <c r="A5" s="10">
        <v>1.0</v>
      </c>
      <c r="B5" s="11"/>
      <c r="C5" s="12" t="s">
        <v>15</v>
      </c>
      <c r="D5" s="14" t="s">
        <v>17</v>
      </c>
      <c r="E5" s="10">
        <v>1.0</v>
      </c>
      <c r="F5" s="16">
        <v>0.99</v>
      </c>
    </row>
    <row r="6" ht="21.75" customHeight="1">
      <c r="A6" s="10">
        <v>2.0</v>
      </c>
      <c r="B6" s="11"/>
      <c r="C6" s="12" t="s">
        <v>15</v>
      </c>
      <c r="D6" s="14" t="s">
        <v>19</v>
      </c>
      <c r="E6" s="10">
        <v>1.0</v>
      </c>
      <c r="F6" s="16">
        <v>0.99</v>
      </c>
    </row>
    <row r="7" ht="21.75" customHeight="1">
      <c r="A7" s="10">
        <v>3.0</v>
      </c>
      <c r="B7" s="11"/>
      <c r="C7" s="12" t="s">
        <v>20</v>
      </c>
      <c r="D7" s="14" t="s">
        <v>21</v>
      </c>
      <c r="E7" s="10">
        <v>1.0</v>
      </c>
      <c r="F7" s="16">
        <v>1.39</v>
      </c>
    </row>
    <row r="8" ht="21.75" customHeight="1">
      <c r="A8" s="10">
        <v>4.0</v>
      </c>
      <c r="B8" s="11"/>
      <c r="C8" s="12" t="s">
        <v>20</v>
      </c>
      <c r="D8" s="14" t="s">
        <v>22</v>
      </c>
      <c r="E8" s="10">
        <v>1.0</v>
      </c>
      <c r="F8" s="16">
        <v>1.61</v>
      </c>
    </row>
    <row r="9" ht="21.75" customHeight="1">
      <c r="A9" s="10">
        <v>5.0</v>
      </c>
      <c r="B9" s="11"/>
      <c r="C9" s="12" t="s">
        <v>23</v>
      </c>
      <c r="D9" s="14" t="s">
        <v>24</v>
      </c>
      <c r="E9" s="10">
        <v>1.0</v>
      </c>
      <c r="F9" s="16">
        <v>1.78</v>
      </c>
    </row>
    <row r="10" ht="21.75" customHeight="1">
      <c r="A10" s="10">
        <v>6.0</v>
      </c>
      <c r="B10" s="11"/>
      <c r="C10" s="12" t="s">
        <v>23</v>
      </c>
      <c r="D10" s="14" t="s">
        <v>25</v>
      </c>
      <c r="E10" s="10">
        <v>1.0</v>
      </c>
      <c r="F10" s="16">
        <v>1.88</v>
      </c>
    </row>
    <row r="11" ht="21.75" customHeight="1">
      <c r="A11" s="10">
        <v>7.0</v>
      </c>
      <c r="B11" s="11"/>
      <c r="C11" s="12" t="s">
        <v>26</v>
      </c>
      <c r="D11" s="14" t="s">
        <v>27</v>
      </c>
      <c r="E11" s="10">
        <v>1.0</v>
      </c>
      <c r="F11" s="16">
        <v>2.61</v>
      </c>
    </row>
    <row r="12" ht="21.75" customHeight="1">
      <c r="A12" s="10">
        <v>8.0</v>
      </c>
      <c r="B12" s="11"/>
      <c r="C12" s="12" t="s">
        <v>26</v>
      </c>
      <c r="D12" s="14" t="s">
        <v>28</v>
      </c>
      <c r="E12" s="10">
        <v>1.0</v>
      </c>
      <c r="F12" s="16">
        <v>2.99</v>
      </c>
    </row>
    <row r="13" ht="21.75" customHeight="1">
      <c r="A13" s="10">
        <v>9.0</v>
      </c>
      <c r="B13" s="11"/>
      <c r="C13" s="12" t="s">
        <v>30</v>
      </c>
      <c r="D13" s="14" t="s">
        <v>31</v>
      </c>
      <c r="E13" s="10">
        <v>1.0</v>
      </c>
      <c r="F13" s="16">
        <v>4.63</v>
      </c>
    </row>
    <row r="14" ht="21.75" customHeight="1">
      <c r="A14" s="10">
        <v>10.0</v>
      </c>
      <c r="B14" s="11"/>
      <c r="C14" s="12" t="s">
        <v>30</v>
      </c>
      <c r="D14" s="14" t="s">
        <v>32</v>
      </c>
      <c r="E14" s="10">
        <v>1.0</v>
      </c>
      <c r="F14" s="16">
        <v>4.74</v>
      </c>
    </row>
    <row r="15" ht="21.75" customHeight="1">
      <c r="A15" s="10">
        <v>11.0</v>
      </c>
      <c r="B15" s="11"/>
      <c r="C15" s="12" t="s">
        <v>33</v>
      </c>
      <c r="D15" s="14" t="s">
        <v>34</v>
      </c>
      <c r="E15" s="10">
        <v>1.0</v>
      </c>
      <c r="F15" s="16">
        <v>5.71</v>
      </c>
    </row>
    <row r="16" ht="21.75" customHeight="1">
      <c r="A16" s="10">
        <v>12.0</v>
      </c>
      <c r="B16" s="11"/>
      <c r="C16" s="12" t="s">
        <v>35</v>
      </c>
      <c r="D16" s="14" t="s">
        <v>36</v>
      </c>
      <c r="E16" s="10">
        <v>1.0</v>
      </c>
      <c r="F16" s="16">
        <v>8.38</v>
      </c>
    </row>
    <row r="17" ht="21.75" customHeight="1">
      <c r="A17" s="10">
        <v>13.0</v>
      </c>
      <c r="B17" s="11"/>
      <c r="C17" s="12" t="s">
        <v>37</v>
      </c>
      <c r="D17" s="14" t="s">
        <v>38</v>
      </c>
      <c r="E17" s="10">
        <v>1.0</v>
      </c>
      <c r="F17" s="16">
        <v>11.86</v>
      </c>
    </row>
    <row r="18" ht="21.75" customHeight="1">
      <c r="A18" s="20">
        <v>14.0</v>
      </c>
      <c r="B18" s="11"/>
      <c r="C18" s="21" t="s">
        <v>41</v>
      </c>
      <c r="D18" s="22" t="s">
        <v>42</v>
      </c>
      <c r="E18" s="20">
        <v>1.0</v>
      </c>
      <c r="F18" s="23">
        <v>17.19</v>
      </c>
    </row>
    <row r="19" ht="21.75" customHeight="1">
      <c r="A19" s="20">
        <v>15.0</v>
      </c>
      <c r="B19" s="11"/>
      <c r="C19" s="21" t="s">
        <v>43</v>
      </c>
      <c r="D19" s="22" t="s">
        <v>45</v>
      </c>
      <c r="E19" s="20">
        <v>2.0</v>
      </c>
      <c r="F19" s="23">
        <v>19.39</v>
      </c>
    </row>
    <row r="20" ht="21.75" customHeight="1">
      <c r="A20" s="20">
        <v>16.0</v>
      </c>
      <c r="B20" s="11"/>
      <c r="C20" s="21" t="s">
        <v>46</v>
      </c>
      <c r="D20" s="22" t="s">
        <v>45</v>
      </c>
      <c r="E20" s="20">
        <v>1.0</v>
      </c>
      <c r="F20" s="23">
        <v>26.5</v>
      </c>
    </row>
    <row r="21" ht="21.75" customHeight="1">
      <c r="A21" s="10">
        <v>17.0</v>
      </c>
      <c r="B21" s="11"/>
      <c r="C21" s="12" t="s">
        <v>47</v>
      </c>
      <c r="D21" s="14" t="s">
        <v>48</v>
      </c>
      <c r="E21" s="10">
        <v>1.0</v>
      </c>
      <c r="F21" s="16">
        <v>27.27</v>
      </c>
    </row>
    <row r="22" ht="21.75" customHeight="1">
      <c r="A22" s="10">
        <v>18.0</v>
      </c>
      <c r="B22" s="11"/>
      <c r="C22" s="12" t="s">
        <v>47</v>
      </c>
      <c r="D22" s="14" t="s">
        <v>49</v>
      </c>
      <c r="E22" s="10">
        <v>1.0</v>
      </c>
      <c r="F22" s="16">
        <v>31.43</v>
      </c>
    </row>
    <row r="23" ht="21.75" customHeight="1">
      <c r="A23" s="10">
        <v>19.0</v>
      </c>
      <c r="B23" s="11"/>
      <c r="C23" s="12" t="s">
        <v>47</v>
      </c>
      <c r="D23" s="14" t="s">
        <v>50</v>
      </c>
      <c r="E23" s="10">
        <v>1.0</v>
      </c>
      <c r="F23" s="16">
        <v>33.31</v>
      </c>
    </row>
    <row r="24" ht="21.75" customHeight="1">
      <c r="A24" s="20">
        <v>20.0</v>
      </c>
      <c r="B24" s="11"/>
      <c r="C24" s="21" t="s">
        <v>51</v>
      </c>
      <c r="D24" s="22" t="s">
        <v>42</v>
      </c>
      <c r="E24" s="20">
        <v>1.0</v>
      </c>
      <c r="F24" s="23">
        <v>47.7</v>
      </c>
    </row>
    <row r="25" ht="15.75" customHeight="1">
      <c r="A25" s="24"/>
      <c r="B25" s="25" t="s">
        <v>53</v>
      </c>
      <c r="C25" s="24"/>
      <c r="D25" s="24"/>
      <c r="E25" s="24"/>
      <c r="F25" s="26">
        <f>SUM(F5:F24)</f>
        <v>252.35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2026-08-10T23:46:56Z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